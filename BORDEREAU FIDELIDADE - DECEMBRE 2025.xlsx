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cyclieconstruction-my.sharepoint.com/personal/jn_encyclie-construction_com/Documents/Desktop/BDX/NON-CVS/2025/12. DECEMBRE 2025/FIDELIDADE/"/>
    </mc:Choice>
  </mc:AlternateContent>
  <xr:revisionPtr revIDLastSave="215" documentId="13_ncr:1_{6F2B360A-0872-4AAD-BF1B-C07F7F6E13B4}" xr6:coauthVersionLast="47" xr6:coauthVersionMax="47" xr10:uidLastSave="{6E987388-3CCD-41ED-AC0B-7D64BBECDDDC}"/>
  <bookViews>
    <workbookView xWindow="28680" yWindow="855" windowWidth="29040" windowHeight="15720" xr2:uid="{2B1D00CA-4210-4B9F-877F-E2BA047527E3}"/>
  </bookViews>
  <sheets>
    <sheet name="PFT" sheetId="1" r:id="rId1"/>
    <sheet name="PRIM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3" i="2" l="1"/>
  <c r="B3" i="2" l="1"/>
  <c r="E2" i="2" l="1"/>
  <c r="O3" i="2"/>
  <c r="A4" i="2" l="1"/>
  <c r="B4" i="2"/>
  <c r="D4" i="2" s="1"/>
  <c r="F4" i="2"/>
  <c r="G4" i="2"/>
  <c r="H4" i="2"/>
  <c r="N4" i="2"/>
  <c r="O4" i="2"/>
  <c r="N3" i="2"/>
  <c r="O2" i="2" l="1"/>
  <c r="N2" i="2"/>
  <c r="A3" i="2"/>
  <c r="D3" i="2"/>
  <c r="F3" i="2"/>
  <c r="G3" i="2"/>
  <c r="H3" i="2"/>
  <c r="H2" i="2"/>
  <c r="F2" i="2"/>
  <c r="G2" i="2"/>
  <c r="B2" i="2"/>
  <c r="A2" i="2" l="1"/>
</calcChain>
</file>

<file path=xl/sharedStrings.xml><?xml version="1.0" encoding="utf-8"?>
<sst xmlns="http://schemas.openxmlformats.org/spreadsheetml/2006/main" count="97" uniqueCount="68">
  <si>
    <t>APPORTEUR</t>
  </si>
  <si>
    <t>IDENTIFIANT_POLICE</t>
  </si>
  <si>
    <t>DATE_SOUSCRIPTION</t>
  </si>
  <si>
    <t>DATE_EFFET_CONTRAT</t>
  </si>
  <si>
    <t>DATE_FIN_CONTRAT</t>
  </si>
  <si>
    <t>NUMERO_AVENANT</t>
  </si>
  <si>
    <t>MOTIF_AVENANT</t>
  </si>
  <si>
    <t>DATE_EFFET_AVENANT</t>
  </si>
  <si>
    <t>DATE_ECHEANCE</t>
  </si>
  <si>
    <t>ETAT_POLICE</t>
  </si>
  <si>
    <t>DATE_ETAT_POLICE</t>
  </si>
  <si>
    <t>MOTIF_ETAT</t>
  </si>
  <si>
    <t>FRANCTIONNEMENT</t>
  </si>
  <si>
    <t>ADRESSE_RISQUE</t>
  </si>
  <si>
    <t>VILLE_RISQUE</t>
  </si>
  <si>
    <t>CODE_POSTAL_RISQUE</t>
  </si>
  <si>
    <t>CA_ENTREPRISE</t>
  </si>
  <si>
    <t>EFFECTIF_ENTREPRISE</t>
  </si>
  <si>
    <t>CODE_NAF</t>
  </si>
  <si>
    <t>LIBELLE_ACTIVITE</t>
  </si>
  <si>
    <t>POID_ACTIVITE</t>
  </si>
  <si>
    <t>SIREN</t>
  </si>
  <si>
    <t>IDENTIFIANT_QUITTANCE</t>
  </si>
  <si>
    <t>DATE_EFFET_QUITTANCE</t>
  </si>
  <si>
    <t>DATE_FIN_QUITTANCE</t>
  </si>
  <si>
    <t>DATE_ENCAISSEMENT</t>
  </si>
  <si>
    <t>STATUT_QUITTANCE</t>
  </si>
  <si>
    <t>GARANTIE</t>
  </si>
  <si>
    <t>PRIME_TTC</t>
  </si>
  <si>
    <t>PRIME_HT</t>
  </si>
  <si>
    <t>TAXES</t>
  </si>
  <si>
    <t>COMMISSIONS</t>
  </si>
  <si>
    <t>MODE_PAIEMENT</t>
  </si>
  <si>
    <t>TAXES_POURCENTAGE</t>
  </si>
  <si>
    <t>TRIMESTRIEL</t>
  </si>
  <si>
    <t>4399C</t>
  </si>
  <si>
    <t>ENCAISSE</t>
  </si>
  <si>
    <t>RC_RCD</t>
  </si>
  <si>
    <t>VIREMENT</t>
  </si>
  <si>
    <t>2025146RCDFID</t>
  </si>
  <si>
    <t>EN COURS</t>
  </si>
  <si>
    <t>6 RESIDENCE ATLANTA RUE DU COMMERCE</t>
  </si>
  <si>
    <t>MAMOUDZOU</t>
  </si>
  <si>
    <t>Voiries Réseaux Divers (VRD)</t>
  </si>
  <si>
    <t>Platrerie – Staff – Stuc – Gypserie</t>
  </si>
  <si>
    <t>Peinture</t>
  </si>
  <si>
    <t>Revetement de surfaces en materiaux souples et parquets flottants</t>
  </si>
  <si>
    <t>Revetement de surfaces en materiaux durs - Chapes et sols coulés</t>
  </si>
  <si>
    <t>Isolation thermique et acoustique</t>
  </si>
  <si>
    <t>Plomberie</t>
  </si>
  <si>
    <t>Electricite - Telecommunication</t>
  </si>
  <si>
    <t>DATE_EMISSION_QUITTANCE</t>
  </si>
  <si>
    <t>2025154RCDFID</t>
  </si>
  <si>
    <t>2025157RCDFID</t>
  </si>
  <si>
    <t>KANGANI, 8 LOTISSEMENT D'ACHERY</t>
  </si>
  <si>
    <t>KOUNGOU</t>
  </si>
  <si>
    <t>2511Z</t>
  </si>
  <si>
    <t>Maconnerie et beton arme</t>
  </si>
  <si>
    <t>Charpente et structure metallique</t>
  </si>
  <si>
    <t>Couverture</t>
  </si>
  <si>
    <t>Bardage de facades</t>
  </si>
  <si>
    <t>SOUSCRIPTION</t>
  </si>
  <si>
    <t>MENSUELLE</t>
  </si>
  <si>
    <t>25 RESIDENCE SAVANNA</t>
  </si>
  <si>
    <t>SAINT-MARTIN</t>
  </si>
  <si>
    <t>4332A</t>
  </si>
  <si>
    <t>Menuiseries interieures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</si>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</sst>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/>
    <xf numFmtId="14" fontId="0" fillId="0" borderId="1" xfId="0" applyNumberFormat="1" applyBorder="1"/>
    <xf numFmtId="2" fontId="0" fillId="0" borderId="1" xfId="0" applyNumberFormat="1" applyBorder="1"/>
    <xf numFmtId="0" fontId="4" fillId="0" borderId="2" xfId="0" applyFont="1" applyBorder="1" applyAlignment="1">
      <alignment vertical="center"/>
    </xf>
    <xf numFmtId="0" fontId="5" fillId="0" borderId="0" xfId="0" applyFont="1"/>
    <xf numFmtId="14" fontId="3" fillId="0" borderId="1" xfId="0" applyNumberFormat="1" applyFont="1" applyBorder="1" applyAlignment="1">
      <alignment horizontal="right"/>
    </xf>
    <xf numFmtId="14" fontId="3" fillId="0" borderId="1" xfId="0" applyNumberFormat="1" applyFont="1" applyBorder="1"/>
    <xf numFmtId="0" fontId="3" fillId="0" borderId="2" xfId="0" applyFont="1" applyBorder="1"/>
    <xf numFmtId="164" fontId="0" fillId="0" borderId="1" xfId="1" applyNumberFormat="1" applyFont="1" applyBorder="1"/>
    <xf numFmtId="164" fontId="3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54B0D-9239-4205-AFA4-91BDBED038BC}">
  <dimension ref="A1:AK20"/>
  <sheetViews>
    <sheetView tabSelected="1" workbookViewId="0">
      <selection activeCell="E15" sqref="E15"/>
    </sheetView>
  </sheetViews>
  <sheetFormatPr defaultColWidth="8.7265625" defaultRowHeight="14.5" x14ac:dyDescent="0.35"/>
  <cols>
    <col min="1" max="1" width="12.81640625" style="6" bestFit="1" customWidth="1"/>
    <col min="2" max="2" width="21.453125" style="6" bestFit="1" customWidth="1"/>
    <col min="3" max="3" width="22.26953125" style="6" bestFit="1" customWidth="1"/>
    <col min="4" max="4" width="23.26953125" style="6" bestFit="1" customWidth="1"/>
    <col min="5" max="5" width="20.7265625" style="6" bestFit="1" customWidth="1"/>
    <col min="6" max="6" width="20.1796875" style="6" bestFit="1" customWidth="1"/>
    <col min="7" max="7" width="17.453125" style="6" bestFit="1" customWidth="1"/>
    <col min="8" max="8" width="23" style="6" bestFit="1" customWidth="1"/>
    <col min="9" max="9" width="18.1796875" style="6" bestFit="1" customWidth="1"/>
    <col min="10" max="10" width="13.81640625" style="6" bestFit="1" customWidth="1"/>
    <col min="11" max="11" width="19.81640625" style="6" bestFit="1" customWidth="1"/>
    <col min="12" max="12" width="12.54296875" style="6" bestFit="1" customWidth="1"/>
    <col min="13" max="13" width="21" style="6" bestFit="1" customWidth="1"/>
    <col min="14" max="14" width="10.54296875" style="6" bestFit="1" customWidth="1"/>
    <col min="15" max="15" width="18.54296875" style="6" bestFit="1" customWidth="1"/>
    <col min="16" max="16" width="14.7265625" style="6" bestFit="1" customWidth="1"/>
    <col min="17" max="17" width="24.1796875" style="6" bestFit="1" customWidth="1"/>
    <col min="18" max="18" width="16.81640625" style="6" bestFit="1" customWidth="1"/>
    <col min="19" max="19" width="23.1796875" style="6" bestFit="1" customWidth="1"/>
    <col min="20" max="20" width="11.81640625" style="6" bestFit="1" customWidth="1"/>
    <col min="21" max="21" width="26.81640625" style="6" bestFit="1" customWidth="1"/>
    <col min="22" max="22" width="15.453125" style="6" bestFit="1" customWidth="1"/>
    <col min="23" max="23" width="36.1796875" style="6" bestFit="1" customWidth="1"/>
    <col min="24" max="24" width="13.54296875" style="6" bestFit="1" customWidth="1"/>
    <col min="25" max="25" width="15.453125" style="6" bestFit="1" customWidth="1"/>
    <col min="26" max="26" width="8.7265625" style="6"/>
    <col min="27" max="27" width="36.1796875" style="6" bestFit="1" customWidth="1"/>
    <col min="28" max="28" width="8.7265625" style="6"/>
    <col min="29" max="29" width="64.26953125" style="6" bestFit="1" customWidth="1"/>
    <col min="30" max="35" width="8.7265625" style="6"/>
    <col min="36" max="36" width="14.26953125" style="6" bestFit="1" customWidth="1"/>
    <col min="37" max="16384" width="8.7265625" style="6"/>
  </cols>
  <sheetData>
    <row r="1" spans="1:37" x14ac:dyDescent="0.35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21</v>
      </c>
      <c r="O1" s="3" t="s">
        <v>13</v>
      </c>
      <c r="P1" s="3" t="s">
        <v>14</v>
      </c>
      <c r="Q1" s="3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19</v>
      </c>
      <c r="X1" s="4" t="s">
        <v>20</v>
      </c>
      <c r="Y1" s="4" t="s">
        <v>19</v>
      </c>
      <c r="Z1" s="4" t="s">
        <v>20</v>
      </c>
      <c r="AA1" s="4" t="s">
        <v>19</v>
      </c>
      <c r="AB1" s="4" t="s">
        <v>20</v>
      </c>
      <c r="AC1" s="4" t="s">
        <v>19</v>
      </c>
      <c r="AD1" s="4" t="s">
        <v>20</v>
      </c>
      <c r="AE1" s="4" t="s">
        <v>19</v>
      </c>
      <c r="AF1" s="4" t="s">
        <v>20</v>
      </c>
      <c r="AG1" s="4" t="s">
        <v>19</v>
      </c>
      <c r="AH1" s="4" t="s">
        <v>20</v>
      </c>
      <c r="AI1" s="9" t="s">
        <v>19</v>
      </c>
      <c r="AJ1" s="4" t="s">
        <v>20</v>
      </c>
      <c r="AK1" s="10"/>
    </row>
    <row r="2" spans="1:37" x14ac:dyDescent="0.35">
      <c r="A2" s="4">
        <v>2518107500</v>
      </c>
      <c r="B2" s="3" t="s">
        <v>39</v>
      </c>
      <c r="C2" s="11">
        <v>46015</v>
      </c>
      <c r="D2" s="11">
        <v>46023</v>
      </c>
      <c r="E2" s="12">
        <v>46112</v>
      </c>
      <c r="F2" s="3"/>
      <c r="G2" s="3"/>
      <c r="H2" s="3"/>
      <c r="I2" s="3"/>
      <c r="J2" s="3" t="s">
        <v>40</v>
      </c>
      <c r="K2" s="3"/>
      <c r="L2" s="3"/>
      <c r="M2" s="3" t="s">
        <v>34</v>
      </c>
      <c r="N2" s="3">
        <v>939389003</v>
      </c>
      <c r="O2" s="3" t="s">
        <v>41</v>
      </c>
      <c r="P2" s="3" t="s">
        <v>42</v>
      </c>
      <c r="Q2" s="3">
        <v>97600</v>
      </c>
      <c r="R2" s="3">
        <v>100000</v>
      </c>
      <c r="S2" s="3">
        <v>2</v>
      </c>
      <c r="T2" s="3" t="s">
        <v>35</v>
      </c>
      <c r="U2" s="3" t="s">
        <v>43</v>
      </c>
      <c r="V2" s="3">
        <v>50</v>
      </c>
      <c r="W2" s="3" t="s">
        <v>44</v>
      </c>
      <c r="X2" s="3">
        <v>10</v>
      </c>
      <c r="Y2" s="3" t="s">
        <v>45</v>
      </c>
      <c r="Z2" s="3">
        <v>10</v>
      </c>
      <c r="AA2" s="3" t="s">
        <v>46</v>
      </c>
      <c r="AB2" s="3">
        <v>10</v>
      </c>
      <c r="AC2" s="3" t="s">
        <v>47</v>
      </c>
      <c r="AD2" s="3">
        <v>5</v>
      </c>
      <c r="AE2" s="3" t="s">
        <v>48</v>
      </c>
      <c r="AF2" s="3">
        <v>5</v>
      </c>
      <c r="AG2" s="3" t="s">
        <v>49</v>
      </c>
      <c r="AH2" s="3">
        <v>5</v>
      </c>
      <c r="AI2" s="13" t="s">
        <v>50</v>
      </c>
      <c r="AJ2" s="3">
        <v>5</v>
      </c>
    </row>
    <row r="3" spans="1:37" x14ac:dyDescent="0.35">
      <c r="A3" s="4">
        <v>2518107500</v>
      </c>
      <c r="B3" s="3" t="s">
        <v>53</v>
      </c>
      <c r="C3" s="11">
        <v>46008</v>
      </c>
      <c r="D3" s="11">
        <v>46023</v>
      </c>
      <c r="E3" s="12">
        <v>46112</v>
      </c>
      <c r="F3" s="3"/>
      <c r="G3" s="3"/>
      <c r="H3" s="3"/>
      <c r="I3" s="3"/>
      <c r="J3" s="3" t="s">
        <v>40</v>
      </c>
      <c r="K3" s="3"/>
      <c r="L3" s="3"/>
      <c r="M3" s="3" t="s">
        <v>34</v>
      </c>
      <c r="N3" s="3">
        <v>819625443</v>
      </c>
      <c r="O3" s="3" t="s">
        <v>54</v>
      </c>
      <c r="P3" s="3" t="s">
        <v>55</v>
      </c>
      <c r="Q3" s="3">
        <v>97600</v>
      </c>
      <c r="R3" s="3">
        <v>700000</v>
      </c>
      <c r="S3" s="3">
        <v>2</v>
      </c>
      <c r="T3" s="3" t="s">
        <v>56</v>
      </c>
      <c r="U3" s="3" t="s">
        <v>57</v>
      </c>
      <c r="V3" s="3">
        <v>20</v>
      </c>
      <c r="W3" s="3" t="s">
        <v>58</v>
      </c>
      <c r="X3" s="3">
        <v>30</v>
      </c>
      <c r="Y3" s="3" t="s">
        <v>59</v>
      </c>
      <c r="Z3" s="3">
        <v>25</v>
      </c>
      <c r="AA3" s="3" t="s">
        <v>60</v>
      </c>
      <c r="AB3" s="3">
        <v>25</v>
      </c>
      <c r="AC3" s="3"/>
      <c r="AD3" s="3"/>
      <c r="AE3" s="3"/>
      <c r="AF3" s="3"/>
      <c r="AG3" s="3"/>
      <c r="AH3" s="3"/>
      <c r="AI3" s="13"/>
      <c r="AJ3" s="3"/>
    </row>
    <row r="4" spans="1:37" x14ac:dyDescent="0.35">
      <c r="A4" s="4">
        <v>2518107500</v>
      </c>
      <c r="B4" s="3" t="s">
        <v>52</v>
      </c>
      <c r="C4" s="11">
        <v>46013</v>
      </c>
      <c r="D4" s="11">
        <v>45992</v>
      </c>
      <c r="E4" s="12">
        <v>46022</v>
      </c>
      <c r="F4" s="3"/>
      <c r="G4" s="3"/>
      <c r="H4" s="3"/>
      <c r="I4" s="3"/>
      <c r="J4" s="3" t="s">
        <v>61</v>
      </c>
      <c r="K4" s="3"/>
      <c r="L4" s="3"/>
      <c r="M4" s="3" t="s">
        <v>62</v>
      </c>
      <c r="N4" s="3">
        <v>980466643</v>
      </c>
      <c r="O4" s="3" t="s">
        <v>63</v>
      </c>
      <c r="P4" s="3" t="s">
        <v>64</v>
      </c>
      <c r="Q4" s="3">
        <v>97150</v>
      </c>
      <c r="R4" s="3">
        <v>85000</v>
      </c>
      <c r="S4" s="3">
        <v>1</v>
      </c>
      <c r="T4" s="3" t="s">
        <v>65</v>
      </c>
      <c r="U4" s="3" t="s">
        <v>66</v>
      </c>
      <c r="V4" s="3">
        <v>30</v>
      </c>
      <c r="W4" s="3" t="s">
        <v>44</v>
      </c>
      <c r="X4" s="3">
        <v>20</v>
      </c>
      <c r="Y4" s="3" t="s">
        <v>45</v>
      </c>
      <c r="Z4" s="3">
        <v>10</v>
      </c>
      <c r="AA4" s="3" t="s">
        <v>46</v>
      </c>
      <c r="AB4" s="3">
        <v>10</v>
      </c>
      <c r="AC4" s="3" t="s">
        <v>47</v>
      </c>
      <c r="AD4" s="3">
        <v>30</v>
      </c>
      <c r="AE4" s="3"/>
      <c r="AF4" s="3"/>
      <c r="AG4" s="3"/>
      <c r="AH4" s="3"/>
      <c r="AI4" s="13"/>
      <c r="AJ4" s="3"/>
    </row>
    <row r="20" spans="2:2" x14ac:dyDescent="0.35">
      <c r="B2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72A0-4C2E-4CC7-AAEB-83D97C1A11A8}">
  <dimension ref="A1:P4"/>
  <sheetViews>
    <sheetView workbookViewId="0">
      <selection activeCell="D3" sqref="D3"/>
    </sheetView>
  </sheetViews>
  <sheetFormatPr defaultRowHeight="14.5" x14ac:dyDescent="0.35"/>
  <cols>
    <col min="1" max="1" width="10.81640625" bestFit="1" customWidth="1"/>
    <col min="2" max="2" width="18" bestFit="1" customWidth="1"/>
    <col min="3" max="3" width="17" bestFit="1" customWidth="1"/>
    <col min="4" max="4" width="21.54296875" bestFit="1" customWidth="1"/>
    <col min="5" max="5" width="25.08984375" bestFit="1" customWidth="1"/>
    <col min="6" max="6" width="21.453125" bestFit="1" customWidth="1"/>
    <col min="7" max="7" width="19.1796875" bestFit="1" customWidth="1"/>
    <col min="8" max="8" width="18.81640625" bestFit="1" customWidth="1"/>
    <col min="9" max="9" width="17.453125" bestFit="1" customWidth="1"/>
    <col min="10" max="10" width="9" bestFit="1" customWidth="1"/>
    <col min="11" max="11" width="9.81640625" bestFit="1" customWidth="1"/>
    <col min="12" max="12" width="8.81640625" bestFit="1" customWidth="1"/>
    <col min="13" max="13" width="5.81640625" bestFit="1" customWidth="1"/>
    <col min="14" max="14" width="10.453125" customWidth="1"/>
    <col min="15" max="15" width="13" bestFit="1" customWidth="1"/>
    <col min="16" max="16" width="15.1796875" bestFit="1" customWidth="1"/>
  </cols>
  <sheetData>
    <row r="1" spans="1:16" x14ac:dyDescent="0.35">
      <c r="A1" s="1" t="s">
        <v>0</v>
      </c>
      <c r="B1" s="1" t="s">
        <v>1</v>
      </c>
      <c r="C1" s="2" t="s">
        <v>5</v>
      </c>
      <c r="D1" s="1" t="s">
        <v>22</v>
      </c>
      <c r="E1" s="1" t="s">
        <v>51</v>
      </c>
      <c r="F1" s="1" t="s">
        <v>23</v>
      </c>
      <c r="G1" s="1" t="s">
        <v>24</v>
      </c>
      <c r="H1" s="1" t="s">
        <v>25</v>
      </c>
      <c r="I1" s="1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33</v>
      </c>
      <c r="O1" s="2" t="s">
        <v>31</v>
      </c>
      <c r="P1" s="1" t="s">
        <v>32</v>
      </c>
    </row>
    <row r="2" spans="1:16" x14ac:dyDescent="0.35">
      <c r="A2" s="1">
        <f>PFT!A2</f>
        <v>2518107500</v>
      </c>
      <c r="B2" s="2" t="str">
        <f>PFT!B2</f>
        <v>2025146RCDFID</v>
      </c>
      <c r="C2" s="2"/>
      <c r="D2" s="2" t="s">
        <v>67</v>
      </c>
      <c r="E2" s="7">
        <f>PFT!C2</f>
        <v>46015</v>
      </c>
      <c r="F2" s="7">
        <f>PFT!D2</f>
        <v>46023</v>
      </c>
      <c r="G2" s="7">
        <f>PFT!E2</f>
        <v>46112</v>
      </c>
      <c r="H2" s="7">
        <f>PFT!C2</f>
        <v>46015</v>
      </c>
      <c r="I2" s="2" t="s">
        <v>36</v>
      </c>
      <c r="J2" s="2" t="s">
        <v>37</v>
      </c>
      <c r="K2" s="2">
        <v>1740</v>
      </c>
      <c r="L2" s="2">
        <v>1665</v>
      </c>
      <c r="M2" s="2">
        <v>75</v>
      </c>
      <c r="N2" s="14">
        <f>M2/L2</f>
        <v>4.5045045045045043E-2</v>
      </c>
      <c r="O2" s="8">
        <f>0.24*L2</f>
        <v>399.59999999999997</v>
      </c>
      <c r="P2" s="2" t="s">
        <v>38</v>
      </c>
    </row>
    <row r="3" spans="1:16" x14ac:dyDescent="0.35">
      <c r="A3" s="1">
        <f>PFT!A3</f>
        <v>2518107500</v>
      </c>
      <c r="B3" s="2" t="str">
        <f>PFT!B3</f>
        <v>2025157RCDFID</v>
      </c>
      <c r="C3" s="2"/>
      <c r="D3" s="2" t="str">
        <f t="shared" ref="D3:D4" si="0">B3</f>
        <v>2025157RCDFID</v>
      </c>
      <c r="E3" s="7">
        <f>PFT!C3</f>
        <v>46008</v>
      </c>
      <c r="F3" s="7">
        <f>PFT!D3</f>
        <v>46023</v>
      </c>
      <c r="G3" s="7">
        <f>PFT!E3</f>
        <v>46112</v>
      </c>
      <c r="H3" s="7">
        <f>PFT!C3</f>
        <v>46008</v>
      </c>
      <c r="I3" s="2" t="s">
        <v>36</v>
      </c>
      <c r="J3" s="2" t="s">
        <v>37</v>
      </c>
      <c r="K3" s="2">
        <v>5368</v>
      </c>
      <c r="L3" s="2">
        <v>5137</v>
      </c>
      <c r="M3" s="2">
        <v>231</v>
      </c>
      <c r="N3" s="14">
        <f>M3/L3</f>
        <v>4.4967880085653104E-2</v>
      </c>
      <c r="O3" s="8">
        <f>0.24*L3</f>
        <v>1232.8799999999999</v>
      </c>
      <c r="P3" s="2" t="s">
        <v>38</v>
      </c>
    </row>
    <row r="4" spans="1:16" x14ac:dyDescent="0.35">
      <c r="A4" s="1">
        <f>PFT!A4</f>
        <v>2518107500</v>
      </c>
      <c r="B4" s="2" t="str">
        <f>PFT!B4</f>
        <v>2025154RCDFID</v>
      </c>
      <c r="C4" s="2"/>
      <c r="D4" s="2" t="str">
        <f t="shared" si="0"/>
        <v>2025154RCDFID</v>
      </c>
      <c r="E4" s="7">
        <f>PFT!C4</f>
        <v>46013</v>
      </c>
      <c r="F4" s="7">
        <f>PFT!D4</f>
        <v>45992</v>
      </c>
      <c r="G4" s="7">
        <f>PFT!E4</f>
        <v>46022</v>
      </c>
      <c r="H4" s="7">
        <f>PFT!C4</f>
        <v>46013</v>
      </c>
      <c r="I4" s="2" t="s">
        <v>36</v>
      </c>
      <c r="J4" s="2" t="s">
        <v>37</v>
      </c>
      <c r="K4" s="2">
        <v>369</v>
      </c>
      <c r="L4" s="2">
        <v>351</v>
      </c>
      <c r="M4" s="2">
        <v>17.600000000000001</v>
      </c>
      <c r="N4" s="14">
        <f>M4/L4</f>
        <v>5.0142450142450147E-2</v>
      </c>
      <c r="O4" s="8">
        <f>0.24*L4</f>
        <v>84.24</v>
      </c>
      <c r="P4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PFT</vt:lpstr>
      <vt:lpstr>PRIMES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Newoor</dc:creator>
  <cp:lastModifiedBy>Joshua Newoor</cp:lastModifiedBy>
  <dcterms:created xsi:type="dcterms:W3CDTF">2025-10-02T14:49:28Z</dcterms:created>
  <dcterms:modified xsi:type="dcterms:W3CDTF">2026-01-15T16:29:27Z</dcterms:modified>
</cp:coreProperties>
</file>